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äkna" sheetId="1" state="visible" r:id="rId1"/>
    <sheet xmlns:r="http://schemas.openxmlformats.org/officeDocument/2006/relationships" name="Så funkar det" sheetId="2" state="visible" r:id="rId2"/>
  </sheets>
  <definedNames>
    <definedName name="_xlnm.Print_Area" localSheetId="0">'Räkna'!$A$1:$G$32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r&quot;"/>
  </numFmts>
  <fonts count="20">
    <font>
      <name val="Calibri"/>
      <family val="2"/>
      <color theme="1"/>
      <sz val="11"/>
      <scheme val="minor"/>
    </font>
    <font>
      <name val="Calibri"/>
      <b val="1"/>
      <color rgb="00C4A574"/>
      <sz val="11"/>
    </font>
    <font>
      <name val="Calibri"/>
      <b val="1"/>
      <color rgb="00FFFFFF"/>
      <sz val="22"/>
    </font>
    <font>
      <name val="Calibri"/>
      <b val="1"/>
      <color rgb="006B794F"/>
      <sz val="12"/>
    </font>
    <font>
      <name val="Calibri"/>
      <b val="1"/>
      <color rgb="006B794F"/>
      <sz val="10"/>
    </font>
    <font>
      <name val="Calibri"/>
      <b val="1"/>
      <color rgb="001D1D1B"/>
      <sz val="12"/>
    </font>
    <font>
      <name val="Calibri"/>
      <b val="1"/>
      <color rgb="006B794F"/>
      <sz val="20"/>
    </font>
    <font>
      <name val="Calibri"/>
      <color rgb="007F715B"/>
      <sz val="9"/>
    </font>
    <font>
      <name val="Calibri"/>
      <color rgb="006B794F"/>
      <sz val="10"/>
    </font>
    <font>
      <name val="Calibri"/>
      <b val="1"/>
      <color rgb="007F715B"/>
      <sz val="9"/>
    </font>
    <font>
      <name val="Calibri"/>
      <color rgb="001D1D1B"/>
      <sz val="10"/>
    </font>
    <font>
      <name val="Calibri"/>
      <b val="1"/>
      <color rgb="00D5CABF"/>
      <sz val="11"/>
    </font>
    <font>
      <name val="Calibri"/>
      <b val="1"/>
      <color rgb="00FFFFFF"/>
      <sz val="48"/>
    </font>
    <font>
      <name val="Calibri"/>
      <color rgb="00EDF1E9"/>
      <sz val="12"/>
    </font>
    <font>
      <name val="Calibri"/>
      <b val="1"/>
      <color rgb="001D1D1B"/>
      <sz val="18"/>
    </font>
    <font>
      <name val="Calibri"/>
      <b val="1"/>
      <color rgb="006B794F"/>
      <sz val="18"/>
    </font>
    <font>
      <name val="Calibri"/>
      <color rgb="001D1D1B"/>
      <sz val="11"/>
    </font>
    <font>
      <name val="Calibri"/>
      <color rgb="00FFFFFF"/>
      <sz val="9"/>
    </font>
    <font>
      <name val="Calibri"/>
      <b val="1"/>
      <color rgb="00FFFFFF"/>
      <sz val="20"/>
    </font>
    <font>
      <name val="Calibri"/>
      <b val="1"/>
      <color rgb="006B794F"/>
      <sz val="13"/>
    </font>
  </fonts>
  <fills count="8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1D1D1B"/>
      </patternFill>
    </fill>
    <fill>
      <patternFill patternType="solid">
        <fgColor rgb="00FFFFFF"/>
      </patternFill>
    </fill>
    <fill>
      <patternFill patternType="solid">
        <fgColor rgb="00EDF1E9"/>
      </patternFill>
    </fill>
    <fill>
      <patternFill patternType="solid">
        <fgColor rgb="00FFF6E0"/>
      </patternFill>
    </fill>
    <fill>
      <patternFill patternType="solid">
        <fgColor rgb="006B794F"/>
      </patternFill>
    </fill>
  </fills>
  <borders count="6">
    <border>
      <left/>
      <right/>
      <top/>
      <bottom/>
      <diagonal/>
    </border>
    <border>
      <left style="thin">
        <color rgb="00D5CABF"/>
      </left>
      <right style="thin">
        <color rgb="00D5CABF"/>
      </right>
      <top style="thin">
        <color rgb="00D5CABF"/>
      </top>
      <bottom style="thin">
        <color rgb="00D5CABF"/>
      </bottom>
    </border>
    <border>
      <left/>
      <right/>
      <top style="thin">
        <color rgb="00D5CABF"/>
      </top>
      <bottom/>
      <diagonal/>
    </border>
    <border>
      <left/>
      <right style="thin">
        <color rgb="00D5CABF"/>
      </right>
      <top style="thin">
        <color rgb="00D5CABF"/>
      </top>
      <bottom/>
      <diagonal/>
    </border>
    <border>
      <left/>
      <right style="thin">
        <color rgb="00D5CABF"/>
      </right>
      <top style="thin">
        <color rgb="00D5CABF"/>
      </top>
      <bottom style="thin">
        <color rgb="00D5CABF"/>
      </bottom>
      <diagonal/>
    </border>
    <border>
      <left style="medium">
        <color rgb="006B794F"/>
      </left>
      <right style="medium">
        <color rgb="006B794F"/>
      </right>
      <top style="medium">
        <color rgb="006B794F"/>
      </top>
      <bottom style="medium">
        <color rgb="006B794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5" borderId="1" applyAlignment="1" pivotButton="0" quotePrefix="0" xfId="0">
      <alignment horizontal="center"/>
    </xf>
    <xf numFmtId="0" fontId="5" fillId="4" borderId="1" pivotButton="0" quotePrefix="0" xfId="0"/>
    <xf numFmtId="0" fontId="6" fillId="6" borderId="5" applyAlignment="1" pivotButton="0" quotePrefix="0" xfId="0">
      <alignment horizontal="center" vertical="center"/>
    </xf>
    <xf numFmtId="0" fontId="9" fillId="4" borderId="1" pivotButton="0" quotePrefix="0" xfId="0"/>
    <xf numFmtId="0" fontId="7" fillId="4" borderId="1" pivotButton="0" quotePrefix="0" xfId="0"/>
    <xf numFmtId="0" fontId="10" fillId="4" borderId="1" pivotButton="0" quotePrefix="0" xfId="0"/>
    <xf numFmtId="0" fontId="3" fillId="4" borderId="1" applyAlignment="1" pivotButton="0" quotePrefix="0" xfId="0">
      <alignment horizontal="center"/>
    </xf>
    <xf numFmtId="164" fontId="6" fillId="6" borderId="5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0" fontId="11" fillId="7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/>
    </xf>
    <xf numFmtId="0" fontId="7" fillId="4" borderId="0" pivotButton="0" quotePrefix="0" xfId="0"/>
    <xf numFmtId="0" fontId="0" fillId="4" borderId="0" pivotButton="0" quotePrefix="0" xfId="0"/>
    <xf numFmtId="164" fontId="14" fillId="4" borderId="0" applyAlignment="1" pivotButton="0" quotePrefix="0" xfId="0">
      <alignment horizontal="center"/>
    </xf>
    <xf numFmtId="0" fontId="15" fillId="4" borderId="0" applyAlignment="1" pivotButton="0" quotePrefix="0" xfId="0">
      <alignment horizontal="center"/>
    </xf>
    <xf numFmtId="0" fontId="4" fillId="2" borderId="0" pivotButton="0" quotePrefix="0" xfId="0"/>
    <xf numFmtId="0" fontId="9" fillId="4" borderId="0" pivotButton="0" quotePrefix="0" xfId="0"/>
    <xf numFmtId="0" fontId="16" fillId="4" borderId="0" pivotButton="0" quotePrefix="0" xfId="0"/>
    <xf numFmtId="0" fontId="16" fillId="4" borderId="0" applyAlignment="1" pivotButton="0" quotePrefix="0" xfId="0">
      <alignment horizontal="center"/>
    </xf>
    <xf numFmtId="164" fontId="16" fillId="4" borderId="0" applyAlignment="1" pivotButton="0" quotePrefix="0" xfId="0">
      <alignment horizontal="center"/>
    </xf>
    <xf numFmtId="164" fontId="3" fillId="5" borderId="0" applyAlignment="1" pivotButton="0" quotePrefix="0" xfId="0">
      <alignment horizontal="center"/>
    </xf>
    <xf numFmtId="0" fontId="7" fillId="2" borderId="0" applyAlignment="1" pivotButton="0" quotePrefix="0" xfId="0">
      <alignment wrapText="1"/>
    </xf>
    <xf numFmtId="0" fontId="0" fillId="7" borderId="0" pivotButton="0" quotePrefix="0" xfId="0"/>
    <xf numFmtId="0" fontId="17" fillId="7" borderId="0" applyAlignment="1" pivotButton="0" quotePrefix="0" xfId="0">
      <alignment horizontal="center" vertical="center"/>
    </xf>
    <xf numFmtId="0" fontId="18" fillId="3" borderId="0" pivotButton="0" quotePrefix="0" xfId="0"/>
    <xf numFmtId="0" fontId="19" fillId="2" borderId="0" pivotButton="0" quotePrefix="0" xfId="0"/>
    <xf numFmtId="0" fontId="16" fillId="4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5D6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143000" cy="29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.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16" customHeight="1">
      <c r="A2" s="1" t="n"/>
      <c r="B2" s="2" t="inlineStr">
        <is>
          <t>ROOTS</t>
        </is>
      </c>
      <c r="E2" s="1" t="n"/>
      <c r="F2" s="1" t="n"/>
      <c r="G2" s="1" t="n"/>
    </row>
    <row r="3" ht="36" customHeight="1">
      <c r="A3" s="1" t="n"/>
      <c r="B3" s="3" t="inlineStr">
        <is>
          <t>Hur mycket kan er förening få?</t>
        </is>
      </c>
      <c r="G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</row>
    <row r="5" ht="24" customHeight="1">
      <c r="A5" s="4" t="n"/>
      <c r="B5" s="5" t="inlineStr">
        <is>
          <t>1. Fyll i de två gula fälten   ·   2. Titta på den gröna siffran   ·   3. Klart</t>
        </is>
      </c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6" t="inlineStr">
        <is>
          <t>ERA SIFFROR</t>
        </is>
      </c>
      <c r="C7" s="7" t="n"/>
      <c r="D7" s="4" t="n"/>
      <c r="E7" s="8" t="inlineStr">
        <is>
          <t>SNABBVAL — klicka och kopiera</t>
        </is>
      </c>
      <c r="F7" s="7" t="n"/>
      <c r="G7" s="4" t="n"/>
    </row>
    <row r="8" ht="36" customHeight="1">
      <c r="A8" s="4" t="n"/>
      <c r="B8" s="9" t="inlineStr">
        <is>
          <t>Hur många säljer?</t>
        </is>
      </c>
      <c r="C8" s="10" t="n">
        <v>50</v>
      </c>
      <c r="D8" s="4" t="n"/>
      <c r="E8" s="11" t="inlineStr">
        <is>
          <t>Storlek</t>
        </is>
      </c>
      <c r="F8" s="12" t="inlineStr">
        <is>
          <t>Skriv in →</t>
        </is>
      </c>
      <c r="G8" s="4" t="n"/>
    </row>
    <row r="9">
      <c r="A9" s="4" t="n"/>
      <c r="B9" s="12" t="inlineStr">
        <is>
          <t>Antal medlemmar som säljer (5, 10, 15 …)</t>
        </is>
      </c>
      <c r="C9" s="7" t="n"/>
      <c r="D9" s="4" t="n"/>
      <c r="E9" s="13" t="inlineStr">
        <is>
          <t>Litet lag</t>
        </is>
      </c>
      <c r="F9" s="14" t="n">
        <v>20</v>
      </c>
      <c r="G9" s="4" t="n"/>
    </row>
    <row r="10" ht="36" customHeight="1">
      <c r="A10" s="4" t="n"/>
      <c r="B10" s="9" t="inlineStr">
        <is>
          <t>Hur mycket säljer var och en?</t>
        </is>
      </c>
      <c r="C10" s="15" t="n">
        <v>1500</v>
      </c>
      <c r="D10" s="4" t="n"/>
      <c r="E10" s="13" t="inlineStr">
        <is>
          <t>Vanligt</t>
        </is>
      </c>
      <c r="F10" s="14" t="n">
        <v>50</v>
      </c>
      <c r="G10" s="4" t="n"/>
    </row>
    <row r="11">
      <c r="A11" s="4" t="n"/>
      <c r="B11" s="12" t="inlineStr">
        <is>
          <t>Snitt per person under kampanjen (max 5 000 kr)</t>
        </is>
      </c>
      <c r="C11" s="7" t="n"/>
      <c r="D11" s="4" t="n"/>
      <c r="E11" s="13" t="inlineStr">
        <is>
          <t>Stort</t>
        </is>
      </c>
      <c r="F11" s="14" t="n">
        <v>100</v>
      </c>
      <c r="G11" s="4" t="n"/>
    </row>
    <row r="12">
      <c r="A12" s="4" t="n"/>
      <c r="B12" s="16">
        <f>CONCATENATE("≈ ",ROUND(C10/399,0)," Premiumpaket à 399 kr")</f>
        <v/>
      </c>
      <c r="C12" s="7" t="n"/>
      <c r="D12" s="4" t="n"/>
      <c r="E12" s="13" t="inlineStr">
        <is>
          <t>Mycket stort</t>
        </is>
      </c>
      <c r="F12" s="14" t="n">
        <v>200</v>
      </c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17" t="inlineStr">
        <is>
          <t>ER FÖRENING FÅR</t>
        </is>
      </c>
      <c r="G14" s="4" t="n"/>
    </row>
    <row r="15" ht="28" customHeight="1">
      <c r="A15" s="4" t="n"/>
      <c r="B15" s="18">
        <f>ROUND(C8*C10*0.35,0)</f>
        <v/>
      </c>
      <c r="G15" s="4" t="n"/>
    </row>
    <row r="16" ht="28" customHeight="1">
      <c r="A16" s="4" t="n"/>
      <c r="G16" s="4" t="n"/>
    </row>
    <row r="17" ht="28" customHeight="1">
      <c r="A17" s="4" t="n"/>
      <c r="G17" s="4" t="n"/>
    </row>
    <row r="18" ht="24" customHeight="1">
      <c r="A18" s="4" t="n"/>
      <c r="B18" s="19">
        <f>CONCATENATE("35 % av ",TEXT(C8*C10,"#,##0")," kr i total försäljning")</f>
        <v/>
      </c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18" customHeight="1">
      <c r="A20" s="4" t="n"/>
      <c r="B20" s="20" t="inlineStr">
        <is>
          <t>Total försäljning</t>
        </is>
      </c>
      <c r="C20" s="21" t="n"/>
      <c r="D20" s="20" t="inlineStr">
        <is>
          <t>Per säljare till er</t>
        </is>
      </c>
      <c r="E20" s="21" t="n"/>
      <c r="F20" s="20" t="inlineStr">
        <is>
          <t>Er andel</t>
        </is>
      </c>
      <c r="G20" s="4" t="n"/>
    </row>
    <row r="21" ht="32" customHeight="1">
      <c r="A21" s="4" t="n"/>
      <c r="B21" s="22">
        <f>C8*C10</f>
        <v/>
      </c>
      <c r="D21" s="22">
        <f>IF(C8=0,0,ROUND(C8*C10*0.35/C8,0))</f>
        <v/>
      </c>
      <c r="F21" s="23" t="inlineStr">
        <is>
          <t>35 %</t>
        </is>
      </c>
      <c r="G21" s="4" t="n"/>
    </row>
    <row r="22" ht="8" customHeight="1">
      <c r="A22" s="4" t="n"/>
      <c r="B22" s="21" t="n"/>
      <c r="C22" s="21" t="n"/>
      <c r="D22" s="21" t="n"/>
      <c r="E22" s="21" t="n"/>
      <c r="F22" s="21" t="n"/>
      <c r="G22" s="4" t="n"/>
    </row>
    <row r="23">
      <c r="A23" s="4" t="n"/>
      <c r="B23" s="24" t="inlineStr">
        <is>
          <t>EXEMPEL NI KAN JÄMFÖRA MED</t>
        </is>
      </c>
      <c r="G23" s="4" t="n"/>
    </row>
    <row r="24">
      <c r="A24" s="4" t="n"/>
      <c r="B24" s="25" t="inlineStr"/>
      <c r="C24" s="25" t="inlineStr">
        <is>
          <t>Medlemmar</t>
        </is>
      </c>
      <c r="D24" s="25" t="inlineStr">
        <is>
          <t>Snitt/person</t>
        </is>
      </c>
      <c r="E24" s="25" t="inlineStr">
        <is>
          <t>Ni får</t>
        </is>
      </c>
      <c r="F24" s="25" t="inlineStr"/>
      <c r="G24" s="4" t="n"/>
    </row>
    <row r="25">
      <c r="A25" s="4" t="n"/>
      <c r="B25" s="26" t="inlineStr">
        <is>
          <t>Litet lag</t>
        </is>
      </c>
      <c r="C25" s="27" t="n">
        <v>20</v>
      </c>
      <c r="D25" s="28" t="n">
        <v>1000</v>
      </c>
      <c r="E25" s="29">
        <f>ROUND(C25*D25*0.35,0)</f>
        <v/>
      </c>
      <c r="F25" s="21" t="n"/>
      <c r="G25" s="4" t="n"/>
    </row>
    <row r="26">
      <c r="A26" s="4" t="n"/>
      <c r="B26" s="26" t="inlineStr">
        <is>
          <t>Vanlig förening</t>
        </is>
      </c>
      <c r="C26" s="27" t="n">
        <v>50</v>
      </c>
      <c r="D26" s="28" t="n">
        <v>1500</v>
      </c>
      <c r="E26" s="29">
        <f>ROUND(C26*D26*0.35,0)</f>
        <v/>
      </c>
      <c r="F26" s="21" t="n"/>
      <c r="G26" s="4" t="n"/>
    </row>
    <row r="27">
      <c r="A27" s="4" t="n"/>
      <c r="B27" s="26" t="inlineStr">
        <is>
          <t>Stark kampanj</t>
        </is>
      </c>
      <c r="C27" s="27" t="n">
        <v>100</v>
      </c>
      <c r="D27" s="28" t="n">
        <v>2500</v>
      </c>
      <c r="E27" s="29">
        <f>ROUND(C27*D27*0.35,0)</f>
        <v/>
      </c>
      <c r="F27" s="21" t="n"/>
      <c r="G27" s="4" t="n"/>
    </row>
    <row r="28">
      <c r="A28" s="4" t="n"/>
      <c r="B28" s="26" t="inlineStr">
        <is>
          <t>Högt snitt</t>
        </is>
      </c>
      <c r="C28" s="27" t="n">
        <v>50</v>
      </c>
      <c r="D28" s="28" t="n">
        <v>5000</v>
      </c>
      <c r="E28" s="29">
        <f>ROUND(C28*D28*0.35,0)</f>
        <v/>
      </c>
      <c r="F28" s="21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 ht="32" customHeight="1">
      <c r="A30" s="4" t="n"/>
      <c r="B30" s="30" t="inlineStr">
        <is>
          <t>Tips: Premiumpaketet kostar 399 kr — då går ca 140 kr till föreningen per paket. Öppna fliken »Så funkar det« om ni vill förstå mer.  ·  info@roots.nu  ·  roots.nu</t>
        </is>
      </c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 ht="22" customHeight="1">
      <c r="A32" s="31" t="n"/>
      <c r="B32" s="32" t="inlineStr">
        <is>
          <t>Roots  ·  Räknesnurra för föreningar  ·  35 % låst andel</t>
        </is>
      </c>
      <c r="G32" s="31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</sheetData>
  <mergeCells count="16">
    <mergeCell ref="B30:F30"/>
    <mergeCell ref="B21:C21"/>
    <mergeCell ref="B7:C7"/>
    <mergeCell ref="B11:C11"/>
    <mergeCell ref="E7:F7"/>
    <mergeCell ref="B15:F17"/>
    <mergeCell ref="D21:E21"/>
    <mergeCell ref="B32:F32"/>
    <mergeCell ref="B3:F3"/>
    <mergeCell ref="B5:F5"/>
    <mergeCell ref="B23:F23"/>
    <mergeCell ref="B14:F14"/>
    <mergeCell ref="B9:C9"/>
    <mergeCell ref="B18:F18"/>
    <mergeCell ref="B2:D2"/>
    <mergeCell ref="B12:C12"/>
  </mergeCells>
  <conditionalFormatting sqref="C8">
    <cfRule type="expression" priority="1" dxfId="0">
      <formula>MOD(C8,5)&lt;&gt;0</formula>
    </cfRule>
  </conditionalFormatting>
  <dataValidations count="2">
    <dataValidation sqref="C8" showDropDown="0" showInputMessage="1" showErrorMessage="1" allowBlank="0" errorTitle="Ogiltigt" error="Ange mellan 5 och 2 000 (helst 5-tal)." promptTitle="Medlemmar" prompt="Välj ett jämnt 5-tal, t.ex. 20, 50 eller 100." type="whole" operator="between">
      <formula1>5</formula1>
      <formula2>2000</formula2>
    </dataValidation>
    <dataValidation sqref="C10" showDropDown="0" showInputMessage="1" showErrorMessage="1" allowBlank="0" errorTitle="För högt" error="Max 5 000 kr per säljare." promptTitle="Snittförsäljning" prompt="Max 5 000 kr per person under kampanjen." type="whole" operator="between">
      <formula1>0</formula1>
      <formula2>5000</formula2>
    </dataValidation>
  </dataValidations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0" customWidth="1" min="2" max="2"/>
    <col width="2.5" customWidth="1" min="3" max="3"/>
  </cols>
  <sheetData>
    <row r="1">
      <c r="A1" s="1" t="n"/>
      <c r="B1" s="1" t="n"/>
      <c r="C1" s="1" t="n"/>
    </row>
    <row r="2" ht="36" customHeight="1">
      <c r="A2" s="1" t="n"/>
      <c r="B2" s="33" t="inlineStr">
        <is>
          <t>Så funkar räknesnurran</t>
        </is>
      </c>
      <c r="C2" s="1" t="n"/>
    </row>
    <row r="3">
      <c r="A3" s="1" t="n"/>
      <c r="B3" s="1" t="n"/>
      <c r="C3" s="1" t="n"/>
    </row>
    <row r="4">
      <c r="A4" s="4" t="n"/>
      <c r="B4" s="4" t="n"/>
      <c r="C4" s="4" t="n"/>
    </row>
    <row r="5">
      <c r="A5" s="4" t="n"/>
      <c r="B5" s="34" t="inlineStr">
        <is>
          <t>Tre steg</t>
        </is>
      </c>
      <c r="C5" s="4" t="n"/>
    </row>
    <row r="6" ht="55" customHeight="1">
      <c r="A6" s="4" t="n"/>
      <c r="B6" s="35" t="inlineStr">
        <is>
          <t>1) Skriv hur många som säljer (jämna 5-tal).
2) Skriv hur mycket varje person säljer för i snitt.
3) Läs av den stora gröna siffran — det är vad föreningen får.</t>
        </is>
      </c>
      <c r="C6" s="4" t="n"/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34" t="inlineStr">
        <is>
          <t>Formeln</t>
        </is>
      </c>
      <c r="C10" s="4" t="n"/>
    </row>
    <row r="11" ht="55" customHeight="1">
      <c r="A11" s="4" t="n"/>
      <c r="B11" s="35" t="inlineStr">
        <is>
          <t>Medlemmar × snittförsäljning × 35 % = föreningens förtjänst.
Exempel: 50 × 1 500 kr × 35 % = 26 250 kr till er.</t>
        </is>
      </c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34" t="inlineStr">
        <is>
          <t>Varför 35 %?</t>
        </is>
      </c>
      <c r="C14" s="4" t="n"/>
    </row>
    <row r="15" ht="55" customHeight="1">
      <c r="A15" s="4" t="n"/>
      <c r="B15" s="35" t="inlineStr">
        <is>
          <t>Andelen är låst i Roots-erbjudandet — samma siffra i portalen, avräkningen och den här filen. Ingen förhandling, inga dolda avdrag.</t>
        </is>
      </c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4" t="n"/>
      <c r="B18" s="34" t="inlineStr">
        <is>
          <t>Premiumpaketet</t>
        </is>
      </c>
      <c r="C18" s="4" t="n"/>
    </row>
    <row r="19" ht="55" customHeight="1">
      <c r="A19" s="4" t="n"/>
      <c r="B19" s="35" t="inlineStr">
        <is>
          <t>Paketpris 399 kr (schampo + balsam + body wash).
Ca 140 kr går till föreningen per sålt paket.</t>
        </is>
      </c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34" t="inlineStr">
        <is>
          <t>Behöver ni hjälp?</t>
        </is>
      </c>
      <c r="C22" s="4" t="n"/>
    </row>
    <row r="23" ht="55" customHeight="1">
      <c r="A23" s="4" t="n"/>
      <c r="B23" s="35" t="inlineStr">
        <is>
          <t>Mejla info@roots.nu eller gå till roots.nu — vi räknar gärna live med er.</t>
        </is>
      </c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2026-08-18T09:42:03Z</dcterms:created>
  <dcterms:modified xmlns:dcterms="http://purl.org/dc/terms/" xmlns:xsi="http://www.w3.org/2001/XMLSchema-instance" xsi:type="dcterms:W3CDTF">2026-08-18T09:42:03Z</dcterms:modified>
</cp:coreProperties>
</file>